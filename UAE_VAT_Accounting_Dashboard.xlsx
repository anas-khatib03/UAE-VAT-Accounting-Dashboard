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s Khatib\Documents\My Projects\UAE_VAT_Accounting&amp;Compliance Dashboard\01_Excel\"/>
    </mc:Choice>
  </mc:AlternateContent>
  <xr:revisionPtr revIDLastSave="0" documentId="13_ncr:1_{8F1E8AF1-E6E2-4C71-A7D6-924E9938F8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ny_Info" sheetId="1" r:id="rId1"/>
    <sheet name="Dashboard" sheetId="7" r:id="rId2"/>
    <sheet name="Transactions" sheetId="2" r:id="rId3"/>
    <sheet name="Customers" sheetId="3" r:id="rId4"/>
    <sheet name="Suppliers" sheetId="4" r:id="rId5"/>
    <sheet name="VAT_Summary" sheetId="5" r:id="rId6"/>
    <sheet name="VAT_Reconciliation" sheetId="6" r:id="rId7"/>
  </sheets>
  <calcPr calcId="19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7" l="1"/>
  <c r="H12" i="7"/>
  <c r="A6" i="7"/>
  <c r="B5" i="6"/>
  <c r="B4" i="6"/>
  <c r="B3" i="6"/>
  <c r="B2" i="6"/>
  <c r="E3" i="5"/>
  <c r="E12" i="7" s="1"/>
  <c r="E4" i="5"/>
  <c r="E13" i="7" s="1"/>
  <c r="E2" i="5"/>
  <c r="E5" i="5" s="1"/>
  <c r="D3" i="5"/>
  <c r="D4" i="5"/>
  <c r="D2" i="5"/>
  <c r="D5" i="5" s="1"/>
  <c r="C4" i="6" s="1"/>
  <c r="C3" i="5"/>
  <c r="D12" i="7" s="1"/>
  <c r="C4" i="5"/>
  <c r="D13" i="7" s="1"/>
  <c r="C2" i="5"/>
  <c r="C5" i="5" s="1"/>
  <c r="B3" i="5"/>
  <c r="C12" i="7" s="1"/>
  <c r="B4" i="5"/>
  <c r="C13" i="7" s="1"/>
  <c r="B2" i="5"/>
  <c r="C11" i="7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K3" i="2"/>
  <c r="K10" i="2"/>
  <c r="K11" i="2"/>
  <c r="K18" i="2"/>
  <c r="K19" i="2"/>
  <c r="I3" i="2"/>
  <c r="L3" i="2" s="1"/>
  <c r="I4" i="2"/>
  <c r="K4" i="2" s="1"/>
  <c r="I5" i="2"/>
  <c r="K5" i="2" s="1"/>
  <c r="I6" i="2"/>
  <c r="K6" i="2" s="1"/>
  <c r="I7" i="2"/>
  <c r="K7" i="2" s="1"/>
  <c r="L7" i="2" s="1"/>
  <c r="I8" i="2"/>
  <c r="I9" i="2"/>
  <c r="I10" i="2"/>
  <c r="L10" i="2" s="1"/>
  <c r="I11" i="2"/>
  <c r="L11" i="2" s="1"/>
  <c r="I12" i="2"/>
  <c r="K12" i="2" s="1"/>
  <c r="I13" i="2"/>
  <c r="K13" i="2" s="1"/>
  <c r="I14" i="2"/>
  <c r="I15" i="2"/>
  <c r="K15" i="2" s="1"/>
  <c r="I16" i="2"/>
  <c r="I17" i="2"/>
  <c r="I18" i="2"/>
  <c r="L18" i="2" s="1"/>
  <c r="I19" i="2"/>
  <c r="L19" i="2" s="1"/>
  <c r="I20" i="2"/>
  <c r="K20" i="2" s="1"/>
  <c r="I21" i="2"/>
  <c r="K21" i="2" s="1"/>
  <c r="I2" i="2"/>
  <c r="K2" i="2" s="1"/>
  <c r="D3" i="6" l="1"/>
  <c r="E3" i="6" s="1"/>
  <c r="C5" i="6"/>
  <c r="D5" i="6" s="1"/>
  <c r="E5" i="6" s="1"/>
  <c r="G6" i="7"/>
  <c r="C3" i="6"/>
  <c r="D6" i="7"/>
  <c r="D4" i="6"/>
  <c r="E4" i="6" s="1"/>
  <c r="F2" i="5"/>
  <c r="D11" i="7"/>
  <c r="B5" i="5"/>
  <c r="C2" i="6" s="1"/>
  <c r="D2" i="6" s="1"/>
  <c r="E2" i="6" s="1"/>
  <c r="F4" i="5"/>
  <c r="E11" i="7"/>
  <c r="F3" i="5"/>
  <c r="B6" i="6"/>
  <c r="L16" i="2"/>
  <c r="L8" i="2"/>
  <c r="L15" i="2"/>
  <c r="L2" i="2"/>
  <c r="L6" i="2"/>
  <c r="K17" i="2"/>
  <c r="L17" i="2" s="1"/>
  <c r="K9" i="2"/>
  <c r="L9" i="2" s="1"/>
  <c r="L21" i="2"/>
  <c r="L13" i="2"/>
  <c r="L5" i="2"/>
  <c r="K16" i="2"/>
  <c r="K8" i="2"/>
  <c r="L20" i="2"/>
  <c r="L12" i="2"/>
  <c r="L4" i="2"/>
  <c r="K14" i="2"/>
  <c r="L14" i="2" s="1"/>
  <c r="F5" i="5" l="1"/>
  <c r="C6" i="6" s="1"/>
  <c r="D6" i="6" s="1"/>
  <c r="E6" i="6" s="1"/>
  <c r="J6" i="7"/>
</calcChain>
</file>

<file path=xl/sharedStrings.xml><?xml version="1.0" encoding="utf-8"?>
<sst xmlns="http://schemas.openxmlformats.org/spreadsheetml/2006/main" count="229" uniqueCount="117">
  <si>
    <t>Fields</t>
  </si>
  <si>
    <t>Details</t>
  </si>
  <si>
    <t>Company Name</t>
  </si>
  <si>
    <t>Country</t>
  </si>
  <si>
    <t>Emirate</t>
  </si>
  <si>
    <t>Business Type</t>
  </si>
  <si>
    <t>Currency</t>
  </si>
  <si>
    <t>VAT Registration Status</t>
  </si>
  <si>
    <t>Standard VAT Rate Used</t>
  </si>
  <si>
    <t>Project Period</t>
  </si>
  <si>
    <t>Project Type</t>
  </si>
  <si>
    <t>DesertTech Trading LLC</t>
  </si>
  <si>
    <t>United Arab Emirates</t>
  </si>
  <si>
    <t>Dubai</t>
  </si>
  <si>
    <t xml:space="preserve">IT Equipment Trading </t>
  </si>
  <si>
    <t xml:space="preserve">AED </t>
  </si>
  <si>
    <t>VAT Registered</t>
  </si>
  <si>
    <t>January 2026 - March 2026</t>
  </si>
  <si>
    <t>Simulated Portfolio Project</t>
  </si>
  <si>
    <t>Customer ID</t>
  </si>
  <si>
    <t>Customer Name</t>
  </si>
  <si>
    <t>C001</t>
  </si>
  <si>
    <t>C002</t>
  </si>
  <si>
    <t>C003</t>
  </si>
  <si>
    <t>C004</t>
  </si>
  <si>
    <t>C005</t>
  </si>
  <si>
    <t>Dubai Business Sollutions LLC</t>
  </si>
  <si>
    <t>Gulff Office Supplies LLC</t>
  </si>
  <si>
    <t>Al Noor Technologies LLC</t>
  </si>
  <si>
    <t>Marina Digital LLC</t>
  </si>
  <si>
    <t>Falcon It Services LLC</t>
  </si>
  <si>
    <t>Sharjah</t>
  </si>
  <si>
    <t>Abu Dhabi</t>
  </si>
  <si>
    <t>Ajman</t>
  </si>
  <si>
    <t>Supplier ID</t>
  </si>
  <si>
    <t xml:space="preserve">Suppllier Name </t>
  </si>
  <si>
    <t>S001</t>
  </si>
  <si>
    <t>S002</t>
  </si>
  <si>
    <t>S003</t>
  </si>
  <si>
    <t>S004</t>
  </si>
  <si>
    <t>S005</t>
  </si>
  <si>
    <t>Emirates Computer Trading LLC</t>
  </si>
  <si>
    <t>Gulf Electronics Trading LLC</t>
  </si>
  <si>
    <t>TechSource Middle East LLC</t>
  </si>
  <si>
    <t>OfficePro Supplies LLC</t>
  </si>
  <si>
    <t>Digital Accessories Trading LLC</t>
  </si>
  <si>
    <t>Transaction ID</t>
  </si>
  <si>
    <t>Date</t>
  </si>
  <si>
    <t>Type</t>
  </si>
  <si>
    <t>Customer/Supplier</t>
  </si>
  <si>
    <t>Description</t>
  </si>
  <si>
    <t>Category</t>
  </si>
  <si>
    <t>Quantity</t>
  </si>
  <si>
    <t>Amount Before VAT</t>
  </si>
  <si>
    <t>VAT Rate</t>
  </si>
  <si>
    <t>VAT Amount</t>
  </si>
  <si>
    <t>Total Amount</t>
  </si>
  <si>
    <t>Payment Status</t>
  </si>
  <si>
    <t>VAT Treatment</t>
  </si>
  <si>
    <t>Notes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</si>
  <si>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</si>
  <si>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</si>
  <si>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</si>
  <si>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</si>
  <si>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</si>
  <si>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</si>
  <si>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</si>
  <si>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</si>
  <si>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</si>
  <si>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</si>
  <si>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</si>
  <si>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</si>
  <si>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</si>
  <si>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</si>
  <si>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</si>
  <si>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</si>
  <si>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</si>
  <si>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</si>
  <si>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</si>
  <si>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</si>
  <si>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Sale</t>
  </si>
  <si>
    <t>Purchase</t>
  </si>
  <si>
    <t>Expense</t>
  </si>
  <si>
    <t>Laptop</t>
  </si>
  <si>
    <t>Monitors</t>
  </si>
  <si>
    <t>Office Supplies</t>
  </si>
  <si>
    <t>Accessories</t>
  </si>
  <si>
    <t>Advertising</t>
  </si>
  <si>
    <t>Office Equipments</t>
  </si>
  <si>
    <t>Computer</t>
  </si>
  <si>
    <t>Display</t>
  </si>
  <si>
    <t>Office</t>
  </si>
  <si>
    <t>Marketing</t>
  </si>
  <si>
    <t>Standard Rated</t>
  </si>
  <si>
    <t>Paid</t>
  </si>
  <si>
    <t>Pending</t>
  </si>
  <si>
    <t>Unit Price(AED)</t>
  </si>
  <si>
    <t>Month</t>
  </si>
  <si>
    <t>Sales Before VAT</t>
  </si>
  <si>
    <t>Output VAT</t>
  </si>
  <si>
    <t>Purchase&amp;Expenses Before VAT</t>
  </si>
  <si>
    <t>Input Vat</t>
  </si>
  <si>
    <t>Net VAT</t>
  </si>
  <si>
    <t>Total</t>
  </si>
  <si>
    <t>Check</t>
  </si>
  <si>
    <t>Transaction Register</t>
  </si>
  <si>
    <t>VAT Summary</t>
  </si>
  <si>
    <t>Difference</t>
  </si>
  <si>
    <t>Status</t>
  </si>
  <si>
    <t>Input VAT</t>
  </si>
  <si>
    <t>Total Sales</t>
  </si>
  <si>
    <t>Net VAT Position</t>
  </si>
  <si>
    <t>Sales</t>
  </si>
  <si>
    <t>Amount</t>
  </si>
  <si>
    <t>Row Labels</t>
  </si>
  <si>
    <t>Grand Total</t>
  </si>
  <si>
    <t>Sum of Amount Before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</si>
</sst>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AED]\ #,##0.00"/>
    <numFmt numFmtId="165" formatCode="_([$AED]\ * #,##0.00_);_([$AED]\ * \(#,##0.00\);_([$AED]\ * &quot;-&quot;??_);_(@_)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15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17" fontId="0" fillId="0" borderId="14" xfId="0" applyNumberFormat="1" applyBorder="1"/>
    <xf numFmtId="0" fontId="0" fillId="0" borderId="7" xfId="0" applyBorder="1"/>
    <xf numFmtId="0" fontId="0" fillId="0" borderId="16" xfId="0" applyBorder="1"/>
    <xf numFmtId="0" fontId="0" fillId="0" borderId="5" xfId="0" applyBorder="1"/>
    <xf numFmtId="17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0" applyNumberFormat="1" applyBorder="1"/>
    <xf numFmtId="164" fontId="0" fillId="0" borderId="15" xfId="0" applyNumberFormat="1" applyBorder="1"/>
    <xf numFmtId="164" fontId="0" fillId="0" borderId="17" xfId="0" applyNumberFormat="1" applyBorder="1"/>
    <xf numFmtId="164" fontId="0" fillId="0" borderId="2" xfId="0" applyNumberFormat="1" applyBorder="1"/>
    <xf numFmtId="164" fontId="0" fillId="2" borderId="5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5">
    <dxf>
      <numFmt numFmtId="164" formatCode="[$AED]\ #,##0.00"/>
    </dxf>
    <dxf>
      <numFmt numFmtId="164" formatCode="[$AED]\ #,##0.00"/>
    </dxf>
    <dxf>
      <numFmt numFmtId="164" formatCode="[$AED]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AED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AED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AED]\ #,##0.00"/>
    </dxf>
    <dxf>
      <numFmt numFmtId="164" formatCode="[$AED]\ #,##0.00"/>
    </dxf>
    <dxf>
      <numFmt numFmtId="164" formatCode="[$AED]\ #,##0.00"/>
    </dxf>
    <dxf>
      <numFmt numFmtId="164" formatCode="[$AED]\ #,##0.00"/>
    </dxf>
    <dxf>
      <numFmt numFmtId="164" formatCode="[$AED]\ #,##0.00"/>
    </dxf>
    <dxf>
      <numFmt numFmtId="164" formatCode="[$AED]\ #,##0.00"/>
    </dxf>
    <dxf>
      <numFmt numFmtId="164" formatCode="[$AED]\ #,##0.00"/>
    </dxf>
    <dxf>
      <numFmt numFmtId="22" formatCode="mmm\-yy"/>
    </dxf>
    <dxf>
      <numFmt numFmtId="0" formatCode="General"/>
    </dxf>
    <dxf>
      <numFmt numFmtId="165" formatCode="_([$AED]\ * #,##0.00_);_([$AED]\ * \(#,##0.00\);_([$AED]\ * &quot;-&quot;??_);_(@_)"/>
    </dxf>
    <dxf>
      <numFmt numFmtId="165" formatCode="_([$AED]\ * #,##0.00_);_([$AED]\ * \(#,##0.00\);_([$AED]\ * &quot;-&quot;??_);_(@_)"/>
    </dxf>
    <dxf>
      <numFmt numFmtId="13" formatCode="0%"/>
    </dxf>
    <dxf>
      <numFmt numFmtId="165" formatCode="_([$AED]\ * #,##0.00_);_([$AED]\ * \(#,##0.00\);_([$AED]\ * &quot;-&quot;??_);_(@_)"/>
    </dxf>
    <dxf>
      <numFmt numFmtId="164" formatCode="[$AED]\ #,##0.00"/>
    </dxf>
    <dxf>
      <numFmt numFmtId="20" formatCode="d\-mmm\-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Dashboard!$B$11:$B$13</c:f>
              <c:numCache>
                <c:formatCode>mmm\-yy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Dashboard!$C$11:$C$13</c:f>
              <c:numCache>
                <c:formatCode>[$AED]\ #,##0.00</c:formatCode>
                <c:ptCount val="3"/>
                <c:pt idx="0">
                  <c:v>435000</c:v>
                </c:pt>
                <c:pt idx="1">
                  <c:v>785000</c:v>
                </c:pt>
                <c:pt idx="2">
                  <c:v>1196000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1-452A-BE22-5F1376D55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572879"/>
        <c:axId val="1036320815"/>
      </c:barChart>
      <c:dateAx>
        <c:axId val="9835728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20815"/>
        <c:crosses val="autoZero"/>
        <c:auto val="1"/>
        <c:lblOffset val="100"/>
        <c:baseTimeUnit val="months"/>
      </c:dateAx>
      <c:valAx>
        <c:axId val="103632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AED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7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 VAT vs Input VAT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Dashboard!$D$10</c:f>
              <c:strCache>
                <c:ptCount val="1"/>
                <c:pt idx="0">
                  <c:v>Output VAT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Dashboard!$B$11:$B$13</c:f>
              <c:numCache>
                <c:formatCode>mmm\-yy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Dashboard!$D$11:$D$13</c:f>
              <c:numCache>
                <c:formatCode>[$AED]\ #,##0.00</c:formatCode>
                <c:ptCount val="3"/>
                <c:pt idx="0">
                  <c:v>21750</c:v>
                </c:pt>
                <c:pt idx="1">
                  <c:v>39250</c:v>
                </c:pt>
                <c:pt idx="2">
                  <c:v>59800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0-4F22-93A7-2DB1657007B6}"/>
            </c:ext>
          </c:extLst>
        </c:ser>
        <c:ser>
          <c:idx val="1"/>
          <c:order val="1"/>
          <c:tx>
            <c:strRef>
              <c:f>Dashboard!$E$10</c:f>
              <c:strCache>
                <c:ptCount val="1"/>
                <c:pt idx="0">
                  <c:v>Input VAT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Dashboard!$B$11:$B$13</c:f>
              <c:numCache>
                <c:formatCode>mmm\-yy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Dashboard!$E$11:$E$13</c:f>
              <c:numCache>
                <c:formatCode>[$AED]\ #,##0.00</c:formatCode>
                <c:ptCount val="3"/>
                <c:pt idx="0">
                  <c:v>66900</c:v>
                </c:pt>
                <c:pt idx="1">
                  <c:v>32000</c:v>
                </c:pt>
                <c:pt idx="2">
                  <c:v>60550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0-4F22-93A7-2DB165700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034175"/>
        <c:axId val="1142029855"/>
      </c:barChart>
      <c:dateAx>
        <c:axId val="11420341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29855"/>
        <c:crosses val="autoZero"/>
        <c:auto val="1"/>
        <c:lblOffset val="100"/>
        <c:baseTimeUnit val="months"/>
      </c:dateAx>
      <c:valAx>
        <c:axId val="11420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AED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Dashboard!$H$10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F45-434A-8541-84467F08C74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45-434A-8541-84467F08C74C}"/>
              </c:ext>
            </c:extLst>
          </c:dPt>
          <c:cat>
            <c:strRef>
              <c:f>Dashboard!$G$11:$G$12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Dashboard!$H$11:$H$12</c:f>
              <c:numCache>
                <c:formatCode>[$AED]\ #,##0.00</c:formatCode>
                <c:ptCount val="2"/>
                <c:pt idx="0">
                  <c:v>2021000</c:v>
                </c:pt>
                <c:pt idx="1">
                  <c:v>395000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5-434A-8541-84467F08C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[UAE_VAT_Accounting_Dashboard.xlsx]Dashboard!PivotTable1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083-4B87-A0D1-05051152B55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83-4B87-A0D1-05051152B551}"/>
              </c:ext>
            </c:extLst>
          </c:dPt>
          <c:cat>
            <c:strRef>
              <c:f>Dashboard!$J$11:$J$14</c:f>
              <c:strCache>
                <c:ptCount val="3"/>
                <c:pt idx="0">
                  <c:v>Accessories</c:v>
                </c:pt>
                <c:pt idx="1">
                  <c:v>Computer</c:v>
                </c:pt>
                <c:pt idx="2">
                  <c:v>Display</c:v>
                </c:pt>
              </c:strCache>
            </c:strRef>
          </c:cat>
          <c:val>
            <c:numRef>
              <c:f>Dashboard!$K$11:$K$14</c:f>
              <c:numCache>
                <c:formatCode>General</c:formatCode>
                <c:ptCount val="3"/>
                <c:pt idx="0">
                  <c:v>940000</c:v>
                </c:pt>
                <c:pt idx="1">
                  <c:v>870000</c:v>
                </c:pt>
                <c:pt idx="2">
                  <c:v>606000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3-4B87-A0D1-05051152B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543632"/>
        <c:axId val="474553232"/>
      </c:barChart>
      <c:catAx>
        <c:axId val="47454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53232"/>
        <c:crosses val="autoZero"/>
        <c:auto val="1"/>
        <c:lblAlgn val="ctr"/>
        <c:lblOffset val="100"/>
        <c:noMultiLvlLbl val="0"/>
      </c:catAx>
      <c:valAx>
        <c:axId val="4745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15</xdr:row>
      <xdr:rowOff>6350</xdr:rowOff>
    </xdr:from>
    <xdr:to>
      <xdr:col>7</xdr:col>
      <xdr:colOff>473075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8C5D1-1CEE-C0B6-B64E-55A851040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34925</xdr:colOff>
      <xdr:row>14</xdr:row>
      <xdr:rowOff>177800</xdr:rowOff>
    </xdr:from>
    <xdr:to>
      <xdr:col>15</xdr:col>
      <xdr:colOff>339725</xdr:colOff>
      <xdr:row>29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8D7BF8-744A-9F73-F576-5F2E93959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31</xdr:row>
      <xdr:rowOff>19050</xdr:rowOff>
    </xdr:from>
    <xdr:to>
      <xdr:col>6</xdr:col>
      <xdr:colOff>1082675</xdr:colOff>
      <xdr:row>46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3B4D79-9564-6430-FE09-B0BA4FCCF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28575</xdr:colOff>
      <xdr:row>31</xdr:row>
      <xdr:rowOff>0</xdr:rowOff>
    </xdr:from>
    <xdr:to>
      <xdr:col>11</xdr:col>
      <xdr:colOff>1196975</xdr:colOff>
      <xdr:row>45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2C9E1E-63DF-C5F9-2419-9C0AA5F07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s Khatib" refreshedDate="46280.058670486113" createdVersion="8" refreshedVersion="8" minRefreshableVersion="3" recordCount="20" xr:uid="{AF7BEE37-FCB5-4DAD-9FF8-DD61FA6921E0}">
  <cacheSource type="worksheet">
    <worksheetSource name="tblTransactions"/>
  </cacheSource>
  <cacheFields count="16">
    <cacheField name="Transaction ID" numFmtId="0">
      <sharedItems/>
    </cacheField>
    <cacheField name="Date" numFmtId="15">
      <sharedItems containsSemiMixedTypes="0" containsNonDate="0" containsDate="1" containsString="0" minDate="2026-01-05T00:00:00" maxDate="2026-03-26T00:00:00"/>
    </cacheField>
    <cacheField name="Type" numFmtId="0">
      <sharedItems count="3">
        <s v="Sale"/>
        <s v="Purchase"/>
        <s v="Expense"/>
      </sharedItems>
    </cacheField>
    <cacheField name="Customer/Supplier" numFmtId="0">
      <sharedItems containsNonDate="0" containsString="0" containsBlank="1"/>
    </cacheField>
    <cacheField name="Description" numFmtId="0">
      <sharedItems/>
    </cacheField>
    <cacheField name="Category" numFmtId="0">
      <sharedItems count="5">
        <s v="Computer"/>
        <s v="Display"/>
        <s v="Office"/>
        <s v="Accessories"/>
        <s v="Marketing"/>
      </sharedItems>
    </cacheField>
    <cacheField name="Quantity" numFmtId="0">
      <sharedItems containsSemiMixedTypes="0" containsString="0" containsNumber="1" containsInteger="1" minValue="1" maxValue="50"/>
    </cacheField>
    <cacheField name="Unit Price(AED)" numFmtId="164">
      <sharedItems containsSemiMixedTypes="0" containsString="0" containsNumber="1" containsInteger="1" minValue="3000" maxValue="50000"/>
    </cacheField>
    <cacheField name="Amount Before VAT" numFmtId="165">
      <sharedItems containsSemiMixedTypes="0" containsString="0" containsNumber="1" containsInteger="1" minValue="3000" maxValue="800000"/>
    </cacheField>
    <cacheField name="VAT Rate" numFmtId="9">
      <sharedItems containsSemiMixedTypes="0" containsString="0" containsNumber="1" minValue="0.05" maxValue="0.05"/>
    </cacheField>
    <cacheField name="VAT Amount" numFmtId="165">
      <sharedItems containsSemiMixedTypes="0" containsString="0" containsNumber="1" containsInteger="1" minValue="150" maxValue="40000"/>
    </cacheField>
    <cacheField name="Total Amount" numFmtId="165">
      <sharedItems containsSemiMixedTypes="0" containsString="0" containsNumber="1" containsInteger="1" minValue="3150" maxValue="840000"/>
    </cacheField>
    <cacheField name="Payment Status" numFmtId="0">
      <sharedItems/>
    </cacheField>
    <cacheField name="VAT Treatment" numFmtId="0">
      <sharedItems/>
    </cacheField>
    <cacheField name="Month" numFmtId="0">
      <sharedItems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T001"/>
    <d v="2026-01-05T00:00:00"/>
    <x v="0"/>
    <m/>
    <s v="Laptop"/>
    <x v="0"/>
    <n v="5"/>
    <n v="25000"/>
    <n v="125000"/>
    <n v="0.05"/>
    <n v="6250"/>
    <n v="131250"/>
    <s v="Paid"/>
    <s v="Standard Rated"/>
    <s v="Jan-2026"/>
    <m/>
  </r>
  <r>
    <s v="T002"/>
    <d v="2026-01-08T00:00:00"/>
    <x v="1"/>
    <m/>
    <s v="Laptop"/>
    <x v="0"/>
    <n v="10"/>
    <n v="40000"/>
    <n v="400000"/>
    <n v="0.05"/>
    <n v="20000"/>
    <n v="420000"/>
    <s v="Paid"/>
    <s v="Standard Rated"/>
    <s v="Jan-2026"/>
    <m/>
  </r>
  <r>
    <s v="T003"/>
    <d v="2026-01-12T00:00:00"/>
    <x v="0"/>
    <m/>
    <s v="Monitors"/>
    <x v="1"/>
    <n v="10"/>
    <n v="15000"/>
    <n v="150000"/>
    <n v="0.05"/>
    <n v="7500"/>
    <n v="157500"/>
    <s v="Pending"/>
    <s v="Standard Rated"/>
    <s v="Jan-2026"/>
    <m/>
  </r>
  <r>
    <s v="T004"/>
    <d v="2026-01-15T00:00:00"/>
    <x v="1"/>
    <m/>
    <s v="Monitors"/>
    <x v="1"/>
    <n v="15"/>
    <n v="22000"/>
    <n v="330000"/>
    <n v="0.05"/>
    <n v="16500"/>
    <n v="346500"/>
    <s v="Paid"/>
    <s v="Standard Rated"/>
    <s v="Jan-2026"/>
    <m/>
  </r>
  <r>
    <s v="T005"/>
    <d v="2026-01-18T00:00:00"/>
    <x v="2"/>
    <m/>
    <s v="Office Supplies"/>
    <x v="2"/>
    <n v="1"/>
    <n v="3000"/>
    <n v="3000"/>
    <n v="0.05"/>
    <n v="150"/>
    <n v="3150"/>
    <s v="Paid"/>
    <s v="Standard Rated"/>
    <s v="Jan-2026"/>
    <m/>
  </r>
  <r>
    <s v="T006"/>
    <d v="2026-01-21T00:00:00"/>
    <x v="0"/>
    <m/>
    <s v="Accessories"/>
    <x v="3"/>
    <n v="20"/>
    <n v="8000"/>
    <n v="160000"/>
    <n v="0.05"/>
    <n v="8000"/>
    <n v="168000"/>
    <s v="Paid"/>
    <s v="Standard Rated"/>
    <s v="Jan-2026"/>
    <m/>
  </r>
  <r>
    <s v="T007"/>
    <d v="2026-01-24T00:00:00"/>
    <x v="1"/>
    <m/>
    <s v="Accessories"/>
    <x v="3"/>
    <n v="50"/>
    <n v="12000"/>
    <n v="600000"/>
    <n v="0.05"/>
    <n v="30000"/>
    <n v="630000"/>
    <s v="Pending"/>
    <s v="Standard Rated"/>
    <s v="Jan-2026"/>
    <m/>
  </r>
  <r>
    <s v="T008"/>
    <d v="2026-01-27T00:00:00"/>
    <x v="2"/>
    <m/>
    <s v="Advertising"/>
    <x v="4"/>
    <n v="1"/>
    <n v="5000"/>
    <n v="5000"/>
    <n v="0.05"/>
    <n v="250"/>
    <n v="5250"/>
    <s v="Paid"/>
    <s v="Standard Rated"/>
    <s v="Jan-2026"/>
    <m/>
  </r>
  <r>
    <s v="T009"/>
    <d v="2026-02-03T00:00:00"/>
    <x v="0"/>
    <m/>
    <s v="Laptop"/>
    <x v="0"/>
    <n v="7"/>
    <n v="35000"/>
    <n v="245000"/>
    <n v="0.05"/>
    <n v="12250"/>
    <n v="257250"/>
    <s v="Pending"/>
    <s v="Standard Rated"/>
    <s v="Feb-2026"/>
    <m/>
  </r>
  <r>
    <s v="T010"/>
    <d v="2026-02-06T00:00:00"/>
    <x v="1"/>
    <m/>
    <s v="Laptop"/>
    <x v="0"/>
    <n v="6"/>
    <n v="30000"/>
    <n v="180000"/>
    <n v="0.05"/>
    <n v="9000"/>
    <n v="189000"/>
    <s v="Paid"/>
    <s v="Standard Rated"/>
    <s v="Feb-2026"/>
    <m/>
  </r>
  <r>
    <s v="T011"/>
    <d v="2026-02-10T00:00:00"/>
    <x v="0"/>
    <m/>
    <s v="Monitors"/>
    <x v="1"/>
    <n v="12"/>
    <n v="20000"/>
    <n v="240000"/>
    <n v="0.05"/>
    <n v="12000"/>
    <n v="252000"/>
    <s v="Paid"/>
    <s v="Standard Rated"/>
    <s v="Feb-2026"/>
    <m/>
  </r>
  <r>
    <s v="T012"/>
    <d v="2026-02-14T00:00:00"/>
    <x v="2"/>
    <m/>
    <s v="Office Equipments"/>
    <x v="2"/>
    <n v="1"/>
    <n v="10000"/>
    <n v="10000"/>
    <n v="0.05"/>
    <n v="500"/>
    <n v="10500"/>
    <s v="Pending"/>
    <s v="Standard Rated"/>
    <s v="Feb-2026"/>
    <m/>
  </r>
  <r>
    <s v="T013"/>
    <d v="2026-02-18T00:00:00"/>
    <x v="1"/>
    <m/>
    <s v="Accessories"/>
    <x v="3"/>
    <n v="30"/>
    <n v="15000"/>
    <n v="450000"/>
    <n v="0.05"/>
    <n v="22500"/>
    <n v="472500"/>
    <s v="Paid"/>
    <s v="Standard Rated"/>
    <s v="Feb-2026"/>
    <m/>
  </r>
  <r>
    <s v="T014"/>
    <d v="2026-02-21T00:00:00"/>
    <x v="0"/>
    <m/>
    <s v="Accessories"/>
    <x v="3"/>
    <n v="25"/>
    <n v="12000"/>
    <n v="300000"/>
    <n v="0.05"/>
    <n v="15000"/>
    <n v="315000"/>
    <s v="Paid"/>
    <s v="Standard Rated"/>
    <s v="Feb-2026"/>
    <m/>
  </r>
  <r>
    <s v="T015"/>
    <d v="2026-03-02T00:00:00"/>
    <x v="1"/>
    <m/>
    <s v="Laptop"/>
    <x v="0"/>
    <n v="9"/>
    <n v="45000"/>
    <n v="405000"/>
    <n v="0.05"/>
    <n v="20250"/>
    <n v="425250"/>
    <s v="Pending"/>
    <s v="Standard Rated"/>
    <s v="Mar-2026"/>
    <m/>
  </r>
  <r>
    <s v="T016"/>
    <d v="2026-03-06T00:00:00"/>
    <x v="0"/>
    <m/>
    <s v="Laptop"/>
    <x v="0"/>
    <n v="10"/>
    <n v="50000"/>
    <n v="500000"/>
    <n v="0.05"/>
    <n v="25000"/>
    <n v="525000"/>
    <s v="Paid"/>
    <s v="Standard Rated"/>
    <s v="Mar-2026"/>
    <m/>
  </r>
  <r>
    <s v="T017"/>
    <d v="2026-03-10T00:00:00"/>
    <x v="0"/>
    <m/>
    <s v="Monitors"/>
    <x v="1"/>
    <n v="12"/>
    <n v="18000"/>
    <n v="216000"/>
    <n v="0.05"/>
    <n v="10800"/>
    <n v="226800"/>
    <s v="Paid"/>
    <s v="Standard Rated"/>
    <s v="Mar-2026"/>
    <m/>
  </r>
  <r>
    <s v="T018"/>
    <d v="2026-03-15T00:00:00"/>
    <x v="2"/>
    <m/>
    <s v="Advertising"/>
    <x v="4"/>
    <n v="1"/>
    <n v="6000"/>
    <n v="6000"/>
    <n v="0.05"/>
    <n v="300"/>
    <n v="6300"/>
    <s v="Pending"/>
    <s v="Standard Rated"/>
    <s v="Mar-2026"/>
    <m/>
  </r>
  <r>
    <s v="T019"/>
    <d v="2026-03-20T00:00:00"/>
    <x v="1"/>
    <m/>
    <s v="Accessories"/>
    <x v="3"/>
    <n v="40"/>
    <n v="20000"/>
    <n v="800000"/>
    <n v="0.05"/>
    <n v="40000"/>
    <n v="840000"/>
    <s v="Paid"/>
    <s v="Standard Rated"/>
    <s v="Mar-2026"/>
    <m/>
  </r>
  <r>
    <s v="T020"/>
    <d v="2026-03-25T00:00:00"/>
    <x v="0"/>
    <m/>
    <s v="Accessories"/>
    <x v="3"/>
    <n v="30"/>
    <n v="16000"/>
    <n v="480000"/>
    <n v="0.05"/>
    <n v="24000"/>
    <n v="504000"/>
    <s v="Paid"/>
    <s v="Standard Rated"/>
    <s v="Mar-202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486C0-8C2B-4B66-9046-34DBB8FC775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10:K14" firstHeaderRow="1" firstDataRow="1" firstDataCol="1" rowPageCount="1" colPageCount="1"/>
  <pivotFields count="16">
    <pivotField showAll="0"/>
    <pivotField numFmtId="15"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6">
        <item x="3"/>
        <item x="0"/>
        <item x="1"/>
        <item h="1" x="4"/>
        <item h="1" x="2"/>
        <item t="default"/>
      </items>
    </pivotField>
    <pivotField showAll="0"/>
    <pivotField numFmtId="164" showAll="0"/>
    <pivotField dataField="1" numFmtId="165" showAll="0"/>
    <pivotField numFmtId="9" showAll="0"/>
    <pivotField numFmtId="165" showAll="0"/>
    <pivotField numFmtId="165"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2" hier="-1"/>
  </pageFields>
  <dataFields count="1">
    <dataField name="Sum of Amount Before VAT" fld="8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44879F-7F63-42DF-A3DE-7F7D7759B101}" name="Table6" displayName="Table6" ref="B10:E13" totalsRowShown="0" headerRowDxfId="9" headerRowBorderDxfId="8" tableBorderDxfId="7" totalsRowBorderDxfId="6">
  <autoFilter ref="B10:E13" xr:uid="{4244879F-7F63-42DF-A3DE-7F7D7759B101}"/>
  <tableColumns count="4">
    <tableColumn id="1" xr3:uid="{A8CC3425-3D71-40EE-833C-2A6114B31DA3}" name="Month" dataDxfId="5"/>
    <tableColumn id="2" xr3:uid="{05E8B938-2C5C-428E-9A5C-EDBD35633166}" name="Sales" dataDxfId="4">
      <calculatedColumnFormula>VAT_Summary!B2</calculatedColumnFormula>
    </tableColumn>
    <tableColumn id="3" xr3:uid="{44E996DE-A206-4059-80B2-357B5DBEC305}" name="Output VAT" dataDxfId="3">
      <calculatedColumnFormula>VAT_Summary!C2</calculatedColumnFormula>
    </tableColumn>
    <tableColumn id="4" xr3:uid="{0CCDD600-30A4-44C8-8B96-58C67E278566}" name="Input VAT" dataDxfId="2">
      <calculatedColumnFormula>VAT_Summary!E2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1F571B-1D35-4D4C-A43F-9BFB7655117A}" name="Table7" displayName="Table7" ref="G10:H12" totalsRowShown="0">
  <autoFilter ref="G10:H12" xr:uid="{561F571B-1D35-4D4C-A43F-9BFB7655117A}"/>
  <tableColumns count="2">
    <tableColumn id="1" xr3:uid="{018D0C31-0FCE-4D66-A9B4-1E6350107014}" name="Payment Status"/>
    <tableColumn id="2" xr3:uid="{BD3F9041-571D-4AC3-8798-4AAE4886B2EA}" name="Amount" dataDxfId="1">
      <calculatedColumnFormula>SUMIFS(Transactions!I:I,Transactions!C:C,"Sale",Transactions!M:M,"Paid")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108436-C114-409B-9367-1198C31EEBAD}" name="tblTransactions" displayName="tblTransactions" ref="A1:P21" totalsRowShown="0">
  <autoFilter ref="A1:P21" xr:uid="{BF108436-C114-409B-9367-1198C31EEBAD}"/>
  <tableColumns count="16">
    <tableColumn id="1" xr3:uid="{04676F15-0FD8-48A0-B934-167396A7B4EA}" name="Transaction ID"/>
    <tableColumn id="2" xr3:uid="{F255A928-6E33-4CE8-93D1-06EEFBAE6DAA}" name="Date" dataDxfId="24"/>
    <tableColumn id="3" xr3:uid="{A772D114-A2FB-4577-B183-14975FA9A209}" name="Type"/>
    <tableColumn id="4" xr3:uid="{6424BF11-C35C-4127-92EC-A93939B4609D}" name="Customer/Supplier"/>
    <tableColumn id="5" xr3:uid="{4DB4DCC5-FC31-49A1-89FD-CB287034A7AB}" name="Description"/>
    <tableColumn id="6" xr3:uid="{C9010534-0A77-40DB-848F-0093756A2130}" name="Category"/>
    <tableColumn id="7" xr3:uid="{FDCCCF06-8EB6-4AA4-B070-A70AB05189A7}" name="Quantity"/>
    <tableColumn id="8" xr3:uid="{1667DF78-269D-4B42-8A68-8884A052D5ED}" name="Unit Price(AED)" dataDxfId="23"/>
    <tableColumn id="9" xr3:uid="{7FBDE7DA-2956-404E-B13A-89555A4D4427}" name="Amount Before VAT" dataDxfId="22">
      <calculatedColumnFormula>H2*G2</calculatedColumnFormula>
    </tableColumn>
    <tableColumn id="10" xr3:uid="{B540E0F0-AC15-4CA3-9BC7-82B92FD85721}" name="VAT Rate" dataDxfId="21"/>
    <tableColumn id="11" xr3:uid="{A6308804-AA3C-4BA8-9C88-D3AC72EAF178}" name="VAT Amount" dataDxfId="20">
      <calculatedColumnFormula>I2*J2</calculatedColumnFormula>
    </tableColumn>
    <tableColumn id="12" xr3:uid="{0B5CBE95-C944-4D36-AFCC-9996F0163312}" name="Total Amount" dataDxfId="19">
      <calculatedColumnFormula>I2+K2</calculatedColumnFormula>
    </tableColumn>
    <tableColumn id="13" xr3:uid="{0283A871-DBDB-4D72-8664-86D26E8A8073}" name="Payment Status"/>
    <tableColumn id="14" xr3:uid="{2DCF257D-E3EA-4D32-9F43-5F1FD588D8CB}" name="VAT Treatment"/>
    <tableColumn id="16" xr3:uid="{C0409248-136F-4EE0-822B-88C84A8D99AB}" name="Month" dataDxfId="18">
      <calculatedColumnFormula>TEXT(tblTransactions[[#This Row],[Date]],"mmm-yyyy")</calculatedColumnFormula>
    </tableColumn>
    <tableColumn id="15" xr3:uid="{C9B15EFA-AD8E-4BC4-8CE2-12ADC62D2CAC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BE7B6-3B82-44BF-A250-19AF24938C9C}" name="Table1" displayName="Table1" ref="A2:C7" totalsRowShown="0">
  <autoFilter ref="A2:C7" xr:uid="{AB7BE7B6-3B82-44BF-A250-19AF24938C9C}"/>
  <tableColumns count="3">
    <tableColumn id="1" xr3:uid="{1A9B08AE-50A4-4E19-8EE6-92FDA6B33D6B}" name="Customer ID"/>
    <tableColumn id="2" xr3:uid="{3712647A-6FF9-43BA-8B61-8A382254EB02}" name="Customer Name"/>
    <tableColumn id="3" xr3:uid="{8554E63F-B53E-4E35-BC71-B4111AAD77E4}" name="Emi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B72A57-0131-43FF-BAB6-074F76900861}" name="Table2" displayName="Table2" ref="A2:C7" totalsRowShown="0">
  <autoFilter ref="A2:C7" xr:uid="{6FB72A57-0131-43FF-BAB6-074F76900861}"/>
  <tableColumns count="3">
    <tableColumn id="1" xr3:uid="{DD1A5C5C-6CF9-4B20-BDC3-6160D5C9F1FD}" name="Supplier ID"/>
    <tableColumn id="2" xr3:uid="{3762832D-CDD5-4D34-B628-8AE313958C95}" name="Suppllier Name "/>
    <tableColumn id="3" xr3:uid="{A59784F5-9498-4B35-B642-BB85A3976A39}" name="Emi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FB4216-EEE1-40E6-926B-9B34747478F1}" name="tblVAT_Summary" displayName="tblVAT_Summary" ref="A1:F5" totalsRowShown="0">
  <autoFilter ref="A1:F5" xr:uid="{58FB4216-EEE1-40E6-926B-9B34747478F1}"/>
  <tableColumns count="6">
    <tableColumn id="1" xr3:uid="{02ED4FB9-CE6B-46DB-AC30-9E44EC9010D5}" name="Month" dataDxfId="17"/>
    <tableColumn id="2" xr3:uid="{9A098C1B-72F3-4ABD-BFA7-A59475143E1B}" name="Sales Before VAT" dataDxfId="16"/>
    <tableColumn id="3" xr3:uid="{B5B857DA-C2F7-48C7-817B-C5EAA99FBF25}" name="Output VAT" dataDxfId="15"/>
    <tableColumn id="4" xr3:uid="{B1B9930F-A922-4642-8257-07A640B8059B}" name="Purchase&amp;Expenses Before VAT" dataDxfId="14"/>
    <tableColumn id="5" xr3:uid="{3872C182-B98A-40B2-B6D8-D2DEFBB694F9}" name="Input Vat" dataDxfId="13"/>
    <tableColumn id="6" xr3:uid="{DFDC24C7-22AD-4135-8C51-CAC629435514}" name="Net VAT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316C6B-6118-42BB-9B14-80A11527D036}" name="tbl_VAT_Reconciliation" displayName="tbl_VAT_Reconciliation" ref="A1:E6" totalsRowShown="0">
  <autoFilter ref="A1:E6" xr:uid="{4F316C6B-6118-42BB-9B14-80A11527D036}"/>
  <tableColumns count="5">
    <tableColumn id="1" xr3:uid="{9C019CD0-602E-4D41-8BC5-0450457B7CB6}" name="Check"/>
    <tableColumn id="2" xr3:uid="{6AF60CA6-14C6-4FB7-BDA5-82C3DBA7D51D}" name="Transaction Register" dataDxfId="11"/>
    <tableColumn id="3" xr3:uid="{BAC3FA92-0C39-4D2F-B5FE-C4EA468A1800}" name="VAT Summary" dataDxfId="10"/>
    <tableColumn id="4" xr3:uid="{CAA559F8-DCD9-4A6E-8643-D3DF8972EB33}" name="Difference">
      <calculatedColumnFormula>B2-C2</calculatedColumnFormula>
    </tableColumn>
    <tableColumn id="5" xr3:uid="{7B397F70-C8E9-48F1-8BC7-51F92485140D}" name="Status">
      <calculatedColumnFormula>IF(ABS(D2)&lt;0.01,"OK","CHECK")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2"/>
  <sheetViews>
    <sheetView tabSelected="1" workbookViewId="0">
      <selection activeCell="C21" sqref="C21"/>
    </sheetView>
  </sheetViews>
  <sheetFormatPr defaultRowHeight="14.5" x14ac:dyDescent="0.35"/>
  <cols>
    <col min="2" max="2" width="21.1796875" bestFit="1" customWidth="1"/>
    <col min="3" max="3" width="23.36328125" bestFit="1" customWidth="1"/>
  </cols>
  <sheetData>
    <row r="3" spans="2:3" x14ac:dyDescent="0.35">
      <c r="B3" s="4" t="s">
        <v>0</v>
      </c>
      <c r="C3" s="4" t="s">
        <v>1</v>
      </c>
    </row>
    <row r="4" spans="2:3" x14ac:dyDescent="0.35">
      <c r="B4" s="5" t="s">
        <v>2</v>
      </c>
      <c r="C4" s="2" t="s">
        <v>11</v>
      </c>
    </row>
    <row r="5" spans="2:3" x14ac:dyDescent="0.35">
      <c r="B5" s="5" t="s">
        <v>3</v>
      </c>
      <c r="C5" s="2" t="s">
        <v>12</v>
      </c>
    </row>
    <row r="6" spans="2:3" x14ac:dyDescent="0.35">
      <c r="B6" s="5" t="s">
        <v>4</v>
      </c>
      <c r="C6" s="2" t="s">
        <v>13</v>
      </c>
    </row>
    <row r="7" spans="2:3" x14ac:dyDescent="0.35">
      <c r="B7" s="5" t="s">
        <v>5</v>
      </c>
      <c r="C7" s="2" t="s">
        <v>14</v>
      </c>
    </row>
    <row r="8" spans="2:3" x14ac:dyDescent="0.35">
      <c r="B8" s="5" t="s">
        <v>6</v>
      </c>
      <c r="C8" s="2" t="s">
        <v>15</v>
      </c>
    </row>
    <row r="9" spans="2:3" x14ac:dyDescent="0.35">
      <c r="B9" s="5" t="s">
        <v>7</v>
      </c>
      <c r="C9" s="2" t="s">
        <v>16</v>
      </c>
    </row>
    <row r="10" spans="2:3" x14ac:dyDescent="0.35">
      <c r="B10" s="5" t="s">
        <v>8</v>
      </c>
      <c r="C10" s="3">
        <v>0.05</v>
      </c>
    </row>
    <row r="11" spans="2:3" x14ac:dyDescent="0.35">
      <c r="B11" s="5" t="s">
        <v>9</v>
      </c>
      <c r="C11" s="2" t="s">
        <v>17</v>
      </c>
    </row>
    <row r="12" spans="2:3" x14ac:dyDescent="0.35">
      <c r="B12" s="5" t="s">
        <v>10</v>
      </c>
      <c r="C12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478A-1E1D-4924-8232-A4711690306D}">
  <dimension ref="A1:L14"/>
  <sheetViews>
    <sheetView workbookViewId="0">
      <selection activeCell="K52" sqref="K52"/>
    </sheetView>
  </sheetViews>
  <sheetFormatPr defaultRowHeight="14.5" x14ac:dyDescent="0.35"/>
  <cols>
    <col min="3" max="3" width="15.26953125" bestFit="1" customWidth="1"/>
    <col min="4" max="4" width="12.7265625" customWidth="1"/>
    <col min="5" max="5" width="12.7265625" bestFit="1" customWidth="1"/>
    <col min="7" max="7" width="16" customWidth="1"/>
    <col min="8" max="8" width="15.26953125" bestFit="1" customWidth="1"/>
    <col min="9" max="10" width="12.36328125" bestFit="1" customWidth="1"/>
    <col min="11" max="12" width="24" bestFit="1" customWidth="1"/>
    <col min="13" max="14" width="10.7265625" bestFit="1" customWidth="1"/>
    <col min="15" max="15" width="5.81640625" bestFit="1" customWidth="1"/>
    <col min="16" max="16" width="10.7265625" bestFit="1" customWidth="1"/>
    <col min="17" max="17" width="28.81640625" bestFit="1" customWidth="1"/>
  </cols>
  <sheetData>
    <row r="1" spans="1:12" ht="15" thickBot="1" x14ac:dyDescent="0.4"/>
    <row r="2" spans="1:12" x14ac:dyDescent="0.35">
      <c r="B2" s="34" t="s">
        <v>11</v>
      </c>
      <c r="C2" s="35"/>
      <c r="D2" s="35"/>
      <c r="E2" s="35"/>
      <c r="F2" s="35"/>
      <c r="G2" s="35"/>
      <c r="H2" s="35"/>
      <c r="I2" s="35"/>
      <c r="J2" s="35"/>
      <c r="K2" s="36"/>
    </row>
    <row r="3" spans="1:12" ht="15" thickBot="1" x14ac:dyDescent="0.4">
      <c r="B3" s="37"/>
      <c r="C3" s="38"/>
      <c r="D3" s="38"/>
      <c r="E3" s="38"/>
      <c r="F3" s="38"/>
      <c r="G3" s="38"/>
      <c r="H3" s="38"/>
      <c r="I3" s="38"/>
      <c r="J3" s="38"/>
      <c r="K3" s="39"/>
    </row>
    <row r="5" spans="1:12" x14ac:dyDescent="0.35">
      <c r="A5" s="40" t="s">
        <v>110</v>
      </c>
      <c r="B5" s="41"/>
      <c r="C5" s="42"/>
      <c r="D5" s="43" t="s">
        <v>99</v>
      </c>
      <c r="E5" s="44"/>
      <c r="F5" s="45"/>
      <c r="G5" s="46" t="s">
        <v>109</v>
      </c>
      <c r="H5" s="47"/>
      <c r="I5" s="48"/>
      <c r="J5" s="49" t="s">
        <v>111</v>
      </c>
      <c r="K5" s="50"/>
      <c r="L5" s="51"/>
    </row>
    <row r="6" spans="1:12" x14ac:dyDescent="0.35">
      <c r="A6" s="22">
        <f>SUMIFS(tblTransactions[Amount Before VAT],tblTransactions[Type],"Sale")</f>
        <v>2416000</v>
      </c>
      <c r="B6" s="23"/>
      <c r="C6" s="24"/>
      <c r="D6" s="25">
        <f>VAT_Summary!C5</f>
        <v>120800</v>
      </c>
      <c r="E6" s="26"/>
      <c r="F6" s="27"/>
      <c r="G6" s="28">
        <f>VAT_Summary!E5</f>
        <v>159450</v>
      </c>
      <c r="H6" s="29"/>
      <c r="I6" s="30"/>
      <c r="J6" s="31">
        <f>D6-G6</f>
        <v>-38650</v>
      </c>
      <c r="K6" s="32"/>
      <c r="L6" s="33"/>
    </row>
    <row r="8" spans="1:12" x14ac:dyDescent="0.35">
      <c r="J8" s="16" t="s">
        <v>48</v>
      </c>
      <c r="K8" t="s">
        <v>80</v>
      </c>
    </row>
    <row r="10" spans="1:12" x14ac:dyDescent="0.35">
      <c r="B10" s="12" t="s">
        <v>97</v>
      </c>
      <c r="C10" s="13" t="s">
        <v>112</v>
      </c>
      <c r="D10" s="13" t="s">
        <v>99</v>
      </c>
      <c r="E10" s="14" t="s">
        <v>109</v>
      </c>
      <c r="G10" t="s">
        <v>57</v>
      </c>
      <c r="H10" t="s">
        <v>113</v>
      </c>
      <c r="J10" s="16" t="s">
        <v>114</v>
      </c>
      <c r="K10" t="s">
        <v>116</v>
      </c>
    </row>
    <row r="11" spans="1:12" x14ac:dyDescent="0.35">
      <c r="B11" s="11">
        <v>46023</v>
      </c>
      <c r="C11" s="18">
        <f>VAT_Summary!B2</f>
        <v>435000</v>
      </c>
      <c r="D11" s="18">
        <f>VAT_Summary!C2</f>
        <v>21750</v>
      </c>
      <c r="E11" s="19">
        <f>VAT_Summary!E2</f>
        <v>66900</v>
      </c>
      <c r="G11" t="s">
        <v>94</v>
      </c>
      <c r="H11" s="9">
        <f>SUMIFS(Transactions!I:I,Transactions!C:C,"Sale",Transactions!M:M,"Paid")</f>
        <v>2021000</v>
      </c>
      <c r="J11" s="17" t="s">
        <v>86</v>
      </c>
      <c r="K11" s="52">
        <v>940000</v>
      </c>
    </row>
    <row r="12" spans="1:12" x14ac:dyDescent="0.35">
      <c r="B12" s="11">
        <v>46054</v>
      </c>
      <c r="C12" s="18">
        <f>VAT_Summary!B3</f>
        <v>785000</v>
      </c>
      <c r="D12" s="18">
        <f>VAT_Summary!C3</f>
        <v>39250</v>
      </c>
      <c r="E12" s="19">
        <f>VAT_Summary!E3</f>
        <v>32000</v>
      </c>
      <c r="G12" t="s">
        <v>95</v>
      </c>
      <c r="H12" s="9">
        <f>SUMIFS(Transactions!I:I,Transactions!C:C,"Sale",Transactions!M:M,"Pending")</f>
        <v>395000</v>
      </c>
      <c r="J12" s="17" t="s">
        <v>89</v>
      </c>
      <c r="K12" s="52">
        <v>870000</v>
      </c>
    </row>
    <row r="13" spans="1:12" x14ac:dyDescent="0.35">
      <c r="B13" s="15">
        <v>46082</v>
      </c>
      <c r="C13" s="20">
        <f>VAT_Summary!B4</f>
        <v>1196000</v>
      </c>
      <c r="D13" s="20">
        <f>VAT_Summary!C4</f>
        <v>59800</v>
      </c>
      <c r="E13" s="21">
        <f>VAT_Summary!E4</f>
        <v>60550</v>
      </c>
      <c r="J13" s="17" t="s">
        <v>90</v>
      </c>
      <c r="K13" s="52">
        <v>606000</v>
      </c>
    </row>
    <row r="14" spans="1:12" x14ac:dyDescent="0.35">
      <c r="J14" s="17" t="s">
        <v>115</v>
      </c>
      <c r="K14" s="52">
        <v>2416000</v>
      </c>
    </row>
  </sheetData>
  <mergeCells count="9">
    <mergeCell ref="A6:C6"/>
    <mergeCell ref="D6:F6"/>
    <mergeCell ref="G6:I6"/>
    <mergeCell ref="J6:L6"/>
    <mergeCell ref="B2:K3"/>
    <mergeCell ref="A5:C5"/>
    <mergeCell ref="D5:F5"/>
    <mergeCell ref="G5:I5"/>
    <mergeCell ref="J5:L5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6C83-2741-4010-92E8-4254B20BF012}">
  <dimension ref="A1:P21"/>
  <sheetViews>
    <sheetView workbookViewId="0">
      <selection activeCell="D11" sqref="D11"/>
    </sheetView>
  </sheetViews>
  <sheetFormatPr defaultRowHeight="14.5" x14ac:dyDescent="0.35"/>
  <cols>
    <col min="1" max="1" width="14.90625" customWidth="1"/>
    <col min="2" max="2" width="21.7265625" style="7" bestFit="1" customWidth="1"/>
    <col min="3" max="3" width="8.36328125" bestFit="1" customWidth="1"/>
    <col min="4" max="4" width="18.6328125" customWidth="1"/>
    <col min="5" max="5" width="16.1796875" bestFit="1" customWidth="1"/>
    <col min="6" max="6" width="10.36328125" bestFit="1" customWidth="1"/>
    <col min="7" max="7" width="10.1796875" customWidth="1"/>
    <col min="8" max="8" width="15.6328125" style="9" customWidth="1"/>
    <col min="9" max="9" width="19.453125" style="10" customWidth="1"/>
    <col min="10" max="10" width="10.453125" customWidth="1"/>
    <col min="11" max="11" width="15" style="10" bestFit="1" customWidth="1"/>
    <col min="12" max="12" width="16" style="10" bestFit="1" customWidth="1"/>
    <col min="13" max="13" width="16" customWidth="1"/>
    <col min="14" max="15" width="15.54296875" customWidth="1"/>
    <col min="16" max="16" width="7.7265625" customWidth="1"/>
  </cols>
  <sheetData>
    <row r="1" spans="1:16" x14ac:dyDescent="0.35">
      <c r="A1" t="s">
        <v>46</v>
      </c>
      <c r="B1" s="7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s="9" t="s">
        <v>96</v>
      </c>
      <c r="I1" s="10" t="s">
        <v>53</v>
      </c>
      <c r="J1" t="s">
        <v>54</v>
      </c>
      <c r="K1" s="10" t="s">
        <v>55</v>
      </c>
      <c r="L1" s="10" t="s">
        <v>56</v>
      </c>
      <c r="M1" t="s">
        <v>57</v>
      </c>
      <c r="N1" t="s">
        <v>58</v>
      </c>
      <c r="O1" t="s">
        <v>97</v>
      </c>
      <c r="P1" t="s">
        <v>59</v>
      </c>
    </row>
    <row r="2" spans="1:16" x14ac:dyDescent="0.35">
      <c r="A2" t="s">
        <v>60</v>
      </c>
      <c r="B2" s="6">
        <v>46027</v>
      </c>
      <c r="C2" t="s">
        <v>80</v>
      </c>
      <c r="E2" t="s">
        <v>83</v>
      </c>
      <c r="F2" t="s">
        <v>89</v>
      </c>
      <c r="G2">
        <v>5</v>
      </c>
      <c r="H2" s="9">
        <v>25000</v>
      </c>
      <c r="I2" s="10">
        <f>H2*G2</f>
        <v>125000</v>
      </c>
      <c r="J2" s="1">
        <v>0.05</v>
      </c>
      <c r="K2" s="10">
        <f>I2*J2</f>
        <v>6250</v>
      </c>
      <c r="L2" s="10">
        <f>I2+K2</f>
        <v>131250</v>
      </c>
      <c r="M2" t="s">
        <v>94</v>
      </c>
      <c r="N2" t="s">
        <v>93</v>
      </c>
      <c r="O2" t="str">
        <f>TEXT(tblTransactions[[#This Row],[Date]],"mmm-yyyy")</f>
        <v>Jan-2026</v>
      </c>
    </row>
    <row r="3" spans="1:16" x14ac:dyDescent="0.35">
      <c r="A3" t="s">
        <v>61</v>
      </c>
      <c r="B3" s="6">
        <v>46030</v>
      </c>
      <c r="C3" t="s">
        <v>81</v>
      </c>
      <c r="E3" t="s">
        <v>83</v>
      </c>
      <c r="F3" t="s">
        <v>89</v>
      </c>
      <c r="G3">
        <v>10</v>
      </c>
      <c r="H3" s="9">
        <v>40000</v>
      </c>
      <c r="I3" s="10">
        <f t="shared" ref="I3:I21" si="0">H3*G3</f>
        <v>400000</v>
      </c>
      <c r="J3" s="1">
        <v>0.05</v>
      </c>
      <c r="K3" s="10">
        <f t="shared" ref="K3:K21" si="1">I3*J3</f>
        <v>20000</v>
      </c>
      <c r="L3" s="10">
        <f t="shared" ref="L3:L21" si="2">I3+K3</f>
        <v>420000</v>
      </c>
      <c r="M3" t="s">
        <v>94</v>
      </c>
      <c r="N3" t="s">
        <v>93</v>
      </c>
      <c r="O3" t="str">
        <f>TEXT(tblTransactions[[#This Row],[Date]],"mmm-yyyy")</f>
        <v>Jan-2026</v>
      </c>
    </row>
    <row r="4" spans="1:16" x14ac:dyDescent="0.35">
      <c r="A4" t="s">
        <v>62</v>
      </c>
      <c r="B4" s="6">
        <v>46034</v>
      </c>
      <c r="C4" t="s">
        <v>80</v>
      </c>
      <c r="E4" t="s">
        <v>84</v>
      </c>
      <c r="F4" t="s">
        <v>90</v>
      </c>
      <c r="G4">
        <v>10</v>
      </c>
      <c r="H4" s="9">
        <v>15000</v>
      </c>
      <c r="I4" s="10">
        <f t="shared" si="0"/>
        <v>150000</v>
      </c>
      <c r="J4" s="1">
        <v>0.05</v>
      </c>
      <c r="K4" s="10">
        <f t="shared" si="1"/>
        <v>7500</v>
      </c>
      <c r="L4" s="10">
        <f t="shared" si="2"/>
        <v>157500</v>
      </c>
      <c r="M4" t="s">
        <v>95</v>
      </c>
      <c r="N4" t="s">
        <v>93</v>
      </c>
      <c r="O4" t="str">
        <f>TEXT(tblTransactions[[#This Row],[Date]],"mmm-yyyy")</f>
        <v>Jan-2026</v>
      </c>
    </row>
    <row r="5" spans="1:16" x14ac:dyDescent="0.35">
      <c r="A5" t="s">
        <v>63</v>
      </c>
      <c r="B5" s="6">
        <v>46037</v>
      </c>
      <c r="C5" t="s">
        <v>81</v>
      </c>
      <c r="E5" t="s">
        <v>84</v>
      </c>
      <c r="F5" t="s">
        <v>90</v>
      </c>
      <c r="G5">
        <v>15</v>
      </c>
      <c r="H5" s="9">
        <v>22000</v>
      </c>
      <c r="I5" s="10">
        <f t="shared" si="0"/>
        <v>330000</v>
      </c>
      <c r="J5" s="1">
        <v>0.05</v>
      </c>
      <c r="K5" s="10">
        <f t="shared" si="1"/>
        <v>16500</v>
      </c>
      <c r="L5" s="10">
        <f t="shared" si="2"/>
        <v>346500</v>
      </c>
      <c r="M5" t="s">
        <v>94</v>
      </c>
      <c r="N5" t="s">
        <v>93</v>
      </c>
      <c r="O5" t="str">
        <f>TEXT(tblTransactions[[#This Row],[Date]],"mmm-yyyy")</f>
        <v>Jan-2026</v>
      </c>
    </row>
    <row r="6" spans="1:16" x14ac:dyDescent="0.35">
      <c r="A6" t="s">
        <v>64</v>
      </c>
      <c r="B6" s="6">
        <v>46040</v>
      </c>
      <c r="C6" t="s">
        <v>82</v>
      </c>
      <c r="E6" t="s">
        <v>85</v>
      </c>
      <c r="F6" t="s">
        <v>91</v>
      </c>
      <c r="G6">
        <v>1</v>
      </c>
      <c r="H6" s="9">
        <v>3000</v>
      </c>
      <c r="I6" s="10">
        <f t="shared" si="0"/>
        <v>3000</v>
      </c>
      <c r="J6" s="1">
        <v>0.05</v>
      </c>
      <c r="K6" s="10">
        <f t="shared" si="1"/>
        <v>150</v>
      </c>
      <c r="L6" s="10">
        <f t="shared" si="2"/>
        <v>3150</v>
      </c>
      <c r="M6" t="s">
        <v>94</v>
      </c>
      <c r="N6" t="s">
        <v>93</v>
      </c>
      <c r="O6" t="str">
        <f>TEXT(tblTransactions[[#This Row],[Date]],"mmm-yyyy")</f>
        <v>Jan-2026</v>
      </c>
    </row>
    <row r="7" spans="1:16" x14ac:dyDescent="0.35">
      <c r="A7" t="s">
        <v>65</v>
      </c>
      <c r="B7" s="6">
        <v>46043</v>
      </c>
      <c r="C7" t="s">
        <v>80</v>
      </c>
      <c r="E7" t="s">
        <v>86</v>
      </c>
      <c r="F7" t="s">
        <v>86</v>
      </c>
      <c r="G7">
        <v>20</v>
      </c>
      <c r="H7" s="9">
        <v>8000</v>
      </c>
      <c r="I7" s="10">
        <f t="shared" si="0"/>
        <v>160000</v>
      </c>
      <c r="J7" s="1">
        <v>0.05</v>
      </c>
      <c r="K7" s="10">
        <f t="shared" si="1"/>
        <v>8000</v>
      </c>
      <c r="L7" s="10">
        <f t="shared" si="2"/>
        <v>168000</v>
      </c>
      <c r="M7" t="s">
        <v>94</v>
      </c>
      <c r="N7" t="s">
        <v>93</v>
      </c>
      <c r="O7" t="str">
        <f>TEXT(tblTransactions[[#This Row],[Date]],"mmm-yyyy")</f>
        <v>Jan-2026</v>
      </c>
    </row>
    <row r="8" spans="1:16" x14ac:dyDescent="0.35">
      <c r="A8" t="s">
        <v>66</v>
      </c>
      <c r="B8" s="6">
        <v>46046</v>
      </c>
      <c r="C8" t="s">
        <v>81</v>
      </c>
      <c r="E8" t="s">
        <v>86</v>
      </c>
      <c r="F8" t="s">
        <v>86</v>
      </c>
      <c r="G8">
        <v>50</v>
      </c>
      <c r="H8" s="9">
        <v>12000</v>
      </c>
      <c r="I8" s="10">
        <f t="shared" si="0"/>
        <v>600000</v>
      </c>
      <c r="J8" s="1">
        <v>0.05</v>
      </c>
      <c r="K8" s="10">
        <f t="shared" si="1"/>
        <v>30000</v>
      </c>
      <c r="L8" s="10">
        <f t="shared" si="2"/>
        <v>630000</v>
      </c>
      <c r="M8" t="s">
        <v>95</v>
      </c>
      <c r="N8" t="s">
        <v>93</v>
      </c>
      <c r="O8" t="str">
        <f>TEXT(tblTransactions[[#This Row],[Date]],"mmm-yyyy")</f>
        <v>Jan-2026</v>
      </c>
    </row>
    <row r="9" spans="1:16" x14ac:dyDescent="0.35">
      <c r="A9" t="s">
        <v>67</v>
      </c>
      <c r="B9" s="6">
        <v>46049</v>
      </c>
      <c r="C9" t="s">
        <v>82</v>
      </c>
      <c r="E9" t="s">
        <v>87</v>
      </c>
      <c r="F9" t="s">
        <v>92</v>
      </c>
      <c r="G9">
        <v>1</v>
      </c>
      <c r="H9" s="9">
        <v>5000</v>
      </c>
      <c r="I9" s="10">
        <f t="shared" si="0"/>
        <v>5000</v>
      </c>
      <c r="J9" s="1">
        <v>0.05</v>
      </c>
      <c r="K9" s="10">
        <f t="shared" si="1"/>
        <v>250</v>
      </c>
      <c r="L9" s="10">
        <f t="shared" si="2"/>
        <v>5250</v>
      </c>
      <c r="M9" t="s">
        <v>94</v>
      </c>
      <c r="N9" t="s">
        <v>93</v>
      </c>
      <c r="O9" t="str">
        <f>TEXT(tblTransactions[[#This Row],[Date]],"mmm-yyyy")</f>
        <v>Jan-2026</v>
      </c>
    </row>
    <row r="10" spans="1:16" x14ac:dyDescent="0.35">
      <c r="A10" t="s">
        <v>68</v>
      </c>
      <c r="B10" s="6">
        <v>46056</v>
      </c>
      <c r="C10" t="s">
        <v>80</v>
      </c>
      <c r="E10" t="s">
        <v>83</v>
      </c>
      <c r="F10" t="s">
        <v>89</v>
      </c>
      <c r="G10">
        <v>7</v>
      </c>
      <c r="H10" s="9">
        <v>35000</v>
      </c>
      <c r="I10" s="10">
        <f t="shared" si="0"/>
        <v>245000</v>
      </c>
      <c r="J10" s="1">
        <v>0.05</v>
      </c>
      <c r="K10" s="10">
        <f t="shared" si="1"/>
        <v>12250</v>
      </c>
      <c r="L10" s="10">
        <f t="shared" si="2"/>
        <v>257250</v>
      </c>
      <c r="M10" t="s">
        <v>95</v>
      </c>
      <c r="N10" t="s">
        <v>93</v>
      </c>
      <c r="O10" t="str">
        <f>TEXT(tblTransactions[[#This Row],[Date]],"mmm-yyyy")</f>
        <v>Feb-2026</v>
      </c>
    </row>
    <row r="11" spans="1:16" x14ac:dyDescent="0.35">
      <c r="A11" t="s">
        <v>69</v>
      </c>
      <c r="B11" s="6">
        <v>46059</v>
      </c>
      <c r="C11" t="s">
        <v>81</v>
      </c>
      <c r="E11" t="s">
        <v>83</v>
      </c>
      <c r="F11" t="s">
        <v>89</v>
      </c>
      <c r="G11">
        <v>6</v>
      </c>
      <c r="H11" s="9">
        <v>30000</v>
      </c>
      <c r="I11" s="10">
        <f t="shared" si="0"/>
        <v>180000</v>
      </c>
      <c r="J11" s="1">
        <v>0.05</v>
      </c>
      <c r="K11" s="10">
        <f t="shared" si="1"/>
        <v>9000</v>
      </c>
      <c r="L11" s="10">
        <f t="shared" si="2"/>
        <v>189000</v>
      </c>
      <c r="M11" t="s">
        <v>94</v>
      </c>
      <c r="N11" t="s">
        <v>93</v>
      </c>
      <c r="O11" t="str">
        <f>TEXT(tblTransactions[[#This Row],[Date]],"mmm-yyyy")</f>
        <v>Feb-2026</v>
      </c>
    </row>
    <row r="12" spans="1:16" x14ac:dyDescent="0.35">
      <c r="A12" t="s">
        <v>70</v>
      </c>
      <c r="B12" s="6">
        <v>46063</v>
      </c>
      <c r="C12" t="s">
        <v>80</v>
      </c>
      <c r="E12" t="s">
        <v>84</v>
      </c>
      <c r="F12" t="s">
        <v>90</v>
      </c>
      <c r="G12">
        <v>12</v>
      </c>
      <c r="H12" s="9">
        <v>20000</v>
      </c>
      <c r="I12" s="10">
        <f t="shared" si="0"/>
        <v>240000</v>
      </c>
      <c r="J12" s="1">
        <v>0.05</v>
      </c>
      <c r="K12" s="10">
        <f t="shared" si="1"/>
        <v>12000</v>
      </c>
      <c r="L12" s="10">
        <f t="shared" si="2"/>
        <v>252000</v>
      </c>
      <c r="M12" t="s">
        <v>94</v>
      </c>
      <c r="N12" t="s">
        <v>93</v>
      </c>
      <c r="O12" t="str">
        <f>TEXT(tblTransactions[[#This Row],[Date]],"mmm-yyyy")</f>
        <v>Feb-2026</v>
      </c>
    </row>
    <row r="13" spans="1:16" x14ac:dyDescent="0.35">
      <c r="A13" t="s">
        <v>71</v>
      </c>
      <c r="B13" s="6">
        <v>46067</v>
      </c>
      <c r="C13" t="s">
        <v>82</v>
      </c>
      <c r="E13" t="s">
        <v>88</v>
      </c>
      <c r="F13" t="s">
        <v>91</v>
      </c>
      <c r="G13">
        <v>1</v>
      </c>
      <c r="H13" s="9">
        <v>10000</v>
      </c>
      <c r="I13" s="10">
        <f t="shared" si="0"/>
        <v>10000</v>
      </c>
      <c r="J13" s="1">
        <v>0.05</v>
      </c>
      <c r="K13" s="10">
        <f t="shared" si="1"/>
        <v>500</v>
      </c>
      <c r="L13" s="10">
        <f t="shared" si="2"/>
        <v>10500</v>
      </c>
      <c r="M13" t="s">
        <v>95</v>
      </c>
      <c r="N13" t="s">
        <v>93</v>
      </c>
      <c r="O13" t="str">
        <f>TEXT(tblTransactions[[#This Row],[Date]],"mmm-yyyy")</f>
        <v>Feb-2026</v>
      </c>
    </row>
    <row r="14" spans="1:16" x14ac:dyDescent="0.35">
      <c r="A14" t="s">
        <v>72</v>
      </c>
      <c r="B14" s="6">
        <v>46071</v>
      </c>
      <c r="C14" t="s">
        <v>81</v>
      </c>
      <c r="E14" t="s">
        <v>86</v>
      </c>
      <c r="F14" t="s">
        <v>86</v>
      </c>
      <c r="G14">
        <v>30</v>
      </c>
      <c r="H14" s="9">
        <v>15000</v>
      </c>
      <c r="I14" s="10">
        <f t="shared" si="0"/>
        <v>450000</v>
      </c>
      <c r="J14" s="1">
        <v>0.05</v>
      </c>
      <c r="K14" s="10">
        <f t="shared" si="1"/>
        <v>22500</v>
      </c>
      <c r="L14" s="10">
        <f t="shared" si="2"/>
        <v>472500</v>
      </c>
      <c r="M14" t="s">
        <v>94</v>
      </c>
      <c r="N14" t="s">
        <v>93</v>
      </c>
      <c r="O14" t="str">
        <f>TEXT(tblTransactions[[#This Row],[Date]],"mmm-yyyy")</f>
        <v>Feb-2026</v>
      </c>
    </row>
    <row r="15" spans="1:16" x14ac:dyDescent="0.35">
      <c r="A15" t="s">
        <v>73</v>
      </c>
      <c r="B15" s="6">
        <v>46074</v>
      </c>
      <c r="C15" t="s">
        <v>80</v>
      </c>
      <c r="E15" t="s">
        <v>86</v>
      </c>
      <c r="F15" t="s">
        <v>86</v>
      </c>
      <c r="G15">
        <v>25</v>
      </c>
      <c r="H15" s="9">
        <v>12000</v>
      </c>
      <c r="I15" s="10">
        <f t="shared" si="0"/>
        <v>300000</v>
      </c>
      <c r="J15" s="1">
        <v>0.05</v>
      </c>
      <c r="K15" s="10">
        <f t="shared" si="1"/>
        <v>15000</v>
      </c>
      <c r="L15" s="10">
        <f t="shared" si="2"/>
        <v>315000</v>
      </c>
      <c r="M15" t="s">
        <v>94</v>
      </c>
      <c r="N15" t="s">
        <v>93</v>
      </c>
      <c r="O15" t="str">
        <f>TEXT(tblTransactions[[#This Row],[Date]],"mmm-yyyy")</f>
        <v>Feb-2026</v>
      </c>
    </row>
    <row r="16" spans="1:16" x14ac:dyDescent="0.35">
      <c r="A16" t="s">
        <v>74</v>
      </c>
      <c r="B16" s="6">
        <v>46083</v>
      </c>
      <c r="C16" t="s">
        <v>81</v>
      </c>
      <c r="E16" t="s">
        <v>83</v>
      </c>
      <c r="F16" t="s">
        <v>89</v>
      </c>
      <c r="G16">
        <v>9</v>
      </c>
      <c r="H16" s="9">
        <v>45000</v>
      </c>
      <c r="I16" s="10">
        <f t="shared" si="0"/>
        <v>405000</v>
      </c>
      <c r="J16" s="1">
        <v>0.05</v>
      </c>
      <c r="K16" s="10">
        <f t="shared" si="1"/>
        <v>20250</v>
      </c>
      <c r="L16" s="10">
        <f t="shared" si="2"/>
        <v>425250</v>
      </c>
      <c r="M16" t="s">
        <v>95</v>
      </c>
      <c r="N16" t="s">
        <v>93</v>
      </c>
      <c r="O16" t="str">
        <f>TEXT(tblTransactions[[#This Row],[Date]],"mmm-yyyy")</f>
        <v>Mar-2026</v>
      </c>
    </row>
    <row r="17" spans="1:15" x14ac:dyDescent="0.35">
      <c r="A17" t="s">
        <v>75</v>
      </c>
      <c r="B17" s="6">
        <v>46087</v>
      </c>
      <c r="C17" t="s">
        <v>80</v>
      </c>
      <c r="E17" t="s">
        <v>83</v>
      </c>
      <c r="F17" t="s">
        <v>89</v>
      </c>
      <c r="G17">
        <v>10</v>
      </c>
      <c r="H17" s="9">
        <v>50000</v>
      </c>
      <c r="I17" s="10">
        <f t="shared" si="0"/>
        <v>500000</v>
      </c>
      <c r="J17" s="1">
        <v>0.05</v>
      </c>
      <c r="K17" s="10">
        <f t="shared" si="1"/>
        <v>25000</v>
      </c>
      <c r="L17" s="10">
        <f t="shared" si="2"/>
        <v>525000</v>
      </c>
      <c r="M17" t="s">
        <v>94</v>
      </c>
      <c r="N17" t="s">
        <v>93</v>
      </c>
      <c r="O17" t="str">
        <f>TEXT(tblTransactions[[#This Row],[Date]],"mmm-yyyy")</f>
        <v>Mar-2026</v>
      </c>
    </row>
    <row r="18" spans="1:15" x14ac:dyDescent="0.35">
      <c r="A18" t="s">
        <v>76</v>
      </c>
      <c r="B18" s="6">
        <v>46091</v>
      </c>
      <c r="C18" t="s">
        <v>80</v>
      </c>
      <c r="E18" t="s">
        <v>84</v>
      </c>
      <c r="F18" t="s">
        <v>90</v>
      </c>
      <c r="G18">
        <v>12</v>
      </c>
      <c r="H18" s="9">
        <v>18000</v>
      </c>
      <c r="I18" s="10">
        <f t="shared" si="0"/>
        <v>216000</v>
      </c>
      <c r="J18" s="1">
        <v>0.05</v>
      </c>
      <c r="K18" s="10">
        <f t="shared" si="1"/>
        <v>10800</v>
      </c>
      <c r="L18" s="10">
        <f t="shared" si="2"/>
        <v>226800</v>
      </c>
      <c r="M18" t="s">
        <v>94</v>
      </c>
      <c r="N18" t="s">
        <v>93</v>
      </c>
      <c r="O18" t="str">
        <f>TEXT(tblTransactions[[#This Row],[Date]],"mmm-yyyy")</f>
        <v>Mar-2026</v>
      </c>
    </row>
    <row r="19" spans="1:15" x14ac:dyDescent="0.35">
      <c r="A19" t="s">
        <v>77</v>
      </c>
      <c r="B19" s="6">
        <v>46096</v>
      </c>
      <c r="C19" t="s">
        <v>82</v>
      </c>
      <c r="E19" t="s">
        <v>87</v>
      </c>
      <c r="F19" t="s">
        <v>92</v>
      </c>
      <c r="G19">
        <v>1</v>
      </c>
      <c r="H19" s="9">
        <v>6000</v>
      </c>
      <c r="I19" s="10">
        <f t="shared" si="0"/>
        <v>6000</v>
      </c>
      <c r="J19" s="1">
        <v>0.05</v>
      </c>
      <c r="K19" s="10">
        <f t="shared" si="1"/>
        <v>300</v>
      </c>
      <c r="L19" s="10">
        <f t="shared" si="2"/>
        <v>6300</v>
      </c>
      <c r="M19" t="s">
        <v>95</v>
      </c>
      <c r="N19" t="s">
        <v>93</v>
      </c>
      <c r="O19" t="str">
        <f>TEXT(tblTransactions[[#This Row],[Date]],"mmm-yyyy")</f>
        <v>Mar-2026</v>
      </c>
    </row>
    <row r="20" spans="1:15" x14ac:dyDescent="0.35">
      <c r="A20" t="s">
        <v>78</v>
      </c>
      <c r="B20" s="6">
        <v>46101</v>
      </c>
      <c r="C20" t="s">
        <v>81</v>
      </c>
      <c r="E20" t="s">
        <v>86</v>
      </c>
      <c r="F20" t="s">
        <v>86</v>
      </c>
      <c r="G20">
        <v>40</v>
      </c>
      <c r="H20" s="9">
        <v>20000</v>
      </c>
      <c r="I20" s="10">
        <f t="shared" si="0"/>
        <v>800000</v>
      </c>
      <c r="J20" s="1">
        <v>0.05</v>
      </c>
      <c r="K20" s="10">
        <f t="shared" si="1"/>
        <v>40000</v>
      </c>
      <c r="L20" s="10">
        <f t="shared" si="2"/>
        <v>840000</v>
      </c>
      <c r="M20" t="s">
        <v>94</v>
      </c>
      <c r="N20" t="s">
        <v>93</v>
      </c>
      <c r="O20" t="str">
        <f>TEXT(tblTransactions[[#This Row],[Date]],"mmm-yyyy")</f>
        <v>Mar-2026</v>
      </c>
    </row>
    <row r="21" spans="1:15" x14ac:dyDescent="0.35">
      <c r="A21" t="s">
        <v>79</v>
      </c>
      <c r="B21" s="6">
        <v>46106</v>
      </c>
      <c r="C21" t="s">
        <v>80</v>
      </c>
      <c r="E21" t="s">
        <v>86</v>
      </c>
      <c r="F21" t="s">
        <v>86</v>
      </c>
      <c r="G21">
        <v>30</v>
      </c>
      <c r="H21" s="9">
        <v>16000</v>
      </c>
      <c r="I21" s="10">
        <f t="shared" si="0"/>
        <v>480000</v>
      </c>
      <c r="J21" s="1">
        <v>0.05</v>
      </c>
      <c r="K21" s="10">
        <f t="shared" si="1"/>
        <v>24000</v>
      </c>
      <c r="L21" s="10">
        <f t="shared" si="2"/>
        <v>504000</v>
      </c>
      <c r="M21" t="s">
        <v>94</v>
      </c>
      <c r="N21" t="s">
        <v>93</v>
      </c>
      <c r="O21" t="str">
        <f>TEXT(tblTransactions[[#This Row],[Date]],"mmm-yyyy")</f>
        <v>Mar-2026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877B-DF09-4D0A-BC8F-FE156F10B957}">
  <dimension ref="A2:C7"/>
  <sheetViews>
    <sheetView workbookViewId="0">
      <selection activeCell="E7" sqref="E7"/>
    </sheetView>
  </sheetViews>
  <sheetFormatPr defaultRowHeight="14.5" x14ac:dyDescent="0.35"/>
  <cols>
    <col min="1" max="1" width="13.26953125" customWidth="1"/>
    <col min="2" max="2" width="25.453125" bestFit="1" customWidth="1"/>
    <col min="3" max="3" width="9.36328125" customWidth="1"/>
  </cols>
  <sheetData>
    <row r="2" spans="1:3" x14ac:dyDescent="0.35">
      <c r="A2" t="s">
        <v>19</v>
      </c>
      <c r="B2" t="s">
        <v>20</v>
      </c>
      <c r="C2" t="s">
        <v>4</v>
      </c>
    </row>
    <row r="3" spans="1:3" x14ac:dyDescent="0.35">
      <c r="A3" t="s">
        <v>21</v>
      </c>
      <c r="B3" t="s">
        <v>26</v>
      </c>
      <c r="C3" t="s">
        <v>13</v>
      </c>
    </row>
    <row r="4" spans="1:3" x14ac:dyDescent="0.35">
      <c r="A4" t="s">
        <v>22</v>
      </c>
      <c r="B4" t="s">
        <v>27</v>
      </c>
      <c r="C4" t="s">
        <v>31</v>
      </c>
    </row>
    <row r="5" spans="1:3" x14ac:dyDescent="0.35">
      <c r="A5" t="s">
        <v>23</v>
      </c>
      <c r="B5" t="s">
        <v>28</v>
      </c>
      <c r="C5" t="s">
        <v>32</v>
      </c>
    </row>
    <row r="6" spans="1:3" x14ac:dyDescent="0.35">
      <c r="A6" t="s">
        <v>24</v>
      </c>
      <c r="B6" t="s">
        <v>29</v>
      </c>
      <c r="C6" t="s">
        <v>13</v>
      </c>
    </row>
    <row r="7" spans="1:3" x14ac:dyDescent="0.35">
      <c r="A7" t="s">
        <v>25</v>
      </c>
      <c r="B7" t="s">
        <v>30</v>
      </c>
      <c r="C7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C589-6430-483D-8BEB-252AACA07155}">
  <dimension ref="A2:C7"/>
  <sheetViews>
    <sheetView workbookViewId="0">
      <selection activeCell="B13" sqref="B13"/>
    </sheetView>
  </sheetViews>
  <sheetFormatPr defaultRowHeight="14.5" x14ac:dyDescent="0.35"/>
  <cols>
    <col min="1" max="1" width="11.90625" customWidth="1"/>
    <col min="2" max="2" width="27.1796875" bestFit="1" customWidth="1"/>
    <col min="3" max="3" width="9.36328125" customWidth="1"/>
  </cols>
  <sheetData>
    <row r="2" spans="1:3" x14ac:dyDescent="0.35">
      <c r="A2" t="s">
        <v>34</v>
      </c>
      <c r="B2" t="s">
        <v>35</v>
      </c>
      <c r="C2" t="s">
        <v>4</v>
      </c>
    </row>
    <row r="3" spans="1:3" x14ac:dyDescent="0.35">
      <c r="A3" t="s">
        <v>36</v>
      </c>
      <c r="B3" t="s">
        <v>41</v>
      </c>
      <c r="C3" t="s">
        <v>13</v>
      </c>
    </row>
    <row r="4" spans="1:3" x14ac:dyDescent="0.35">
      <c r="A4" t="s">
        <v>37</v>
      </c>
      <c r="B4" t="s">
        <v>42</v>
      </c>
      <c r="C4" t="s">
        <v>31</v>
      </c>
    </row>
    <row r="5" spans="1:3" x14ac:dyDescent="0.35">
      <c r="A5" t="s">
        <v>38</v>
      </c>
      <c r="B5" t="s">
        <v>43</v>
      </c>
      <c r="C5" t="s">
        <v>13</v>
      </c>
    </row>
    <row r="6" spans="1:3" x14ac:dyDescent="0.35">
      <c r="A6" t="s">
        <v>39</v>
      </c>
      <c r="B6" t="s">
        <v>44</v>
      </c>
      <c r="C6" t="s">
        <v>32</v>
      </c>
    </row>
    <row r="7" spans="1:3" x14ac:dyDescent="0.35">
      <c r="A7" t="s">
        <v>40</v>
      </c>
      <c r="B7" t="s">
        <v>45</v>
      </c>
      <c r="C7" t="s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3E74-CD47-4CA5-8C02-315A6ED82163}">
  <dimension ref="A1:F5"/>
  <sheetViews>
    <sheetView workbookViewId="0">
      <selection activeCell="B4" sqref="B4"/>
    </sheetView>
  </sheetViews>
  <sheetFormatPr defaultRowHeight="14.5" x14ac:dyDescent="0.35"/>
  <cols>
    <col min="2" max="2" width="16.81640625" style="9" customWidth="1"/>
    <col min="3" max="3" width="13.81640625" style="9" bestFit="1" customWidth="1"/>
    <col min="4" max="4" width="30.08984375" style="9" bestFit="1" customWidth="1"/>
    <col min="5" max="5" width="13.81640625" style="9" bestFit="1" customWidth="1"/>
    <col min="6" max="6" width="13.453125" style="9" bestFit="1" customWidth="1"/>
  </cols>
  <sheetData>
    <row r="1" spans="1:6" x14ac:dyDescent="0.35">
      <c r="A1" t="s">
        <v>97</v>
      </c>
      <c r="B1" s="9" t="s">
        <v>98</v>
      </c>
      <c r="C1" s="9" t="s">
        <v>99</v>
      </c>
      <c r="D1" s="9" t="s">
        <v>100</v>
      </c>
      <c r="E1" s="9" t="s">
        <v>101</v>
      </c>
      <c r="F1" s="9" t="s">
        <v>102</v>
      </c>
    </row>
    <row r="2" spans="1:6" x14ac:dyDescent="0.35">
      <c r="A2" s="8">
        <v>46023</v>
      </c>
      <c r="B2" s="9">
        <f>SUMIFS(tblTransactions[Amount Before VAT],tblTransactions[Month],A2,tblTransactions[Type],"Sale")</f>
        <v>435000</v>
      </c>
      <c r="C2" s="9">
        <f>SUMIFS(tblTransactions[VAT Amount],tblTransactions[Month],A2,tblTransactions[Type],"Sale")</f>
        <v>21750</v>
      </c>
      <c r="D2" s="9">
        <f>SUMIFS(tblTransactions[Amount Before VAT],tblTransactions[Month],A2,tblTransactions[Type],"Purchase")+SUMIFS(tblTransactions[Amount Before VAT],tblTransactions[Month],A2,tblTransactions[Type],"Expense")</f>
        <v>1338000</v>
      </c>
      <c r="E2" s="9">
        <f>SUMIFS(tblTransactions[VAT Amount],tblTransactions[Month],A2,tblTransactions[Type],"Purchase")+SUMIFS(tblTransactions[VAT Amount],tblTransactions[Month],A2,tblTransactions[Type],"Expense")</f>
        <v>66900</v>
      </c>
      <c r="F2" s="9">
        <f>C2-E2</f>
        <v>-45150</v>
      </c>
    </row>
    <row r="3" spans="1:6" x14ac:dyDescent="0.35">
      <c r="A3" s="8">
        <v>46054</v>
      </c>
      <c r="B3" s="9">
        <f>SUMIFS(tblTransactions[Amount Before VAT],tblTransactions[Month],A3,tblTransactions[Type],"Sale")</f>
        <v>785000</v>
      </c>
      <c r="C3" s="9">
        <f>SUMIFS(tblTransactions[VAT Amount],tblTransactions[Month],A3,tblTransactions[Type],"Sale")</f>
        <v>39250</v>
      </c>
      <c r="D3" s="9">
        <f>SUMIFS(tblTransactions[Amount Before VAT],tblTransactions[Month],A3,tblTransactions[Type],"Purchase")+SUMIFS(tblTransactions[Amount Before VAT],tblTransactions[Month],A3,tblTransactions[Type],"Expense")</f>
        <v>640000</v>
      </c>
      <c r="E3" s="9">
        <f>SUMIFS(tblTransactions[VAT Amount],tblTransactions[Month],A3,tblTransactions[Type],"Purchase")+SUMIFS(tblTransactions[VAT Amount],tblTransactions[Month],A3,tblTransactions[Type],"Expense")</f>
        <v>32000</v>
      </c>
      <c r="F3" s="9">
        <f t="shared" ref="F3:F4" si="0">C3-E3</f>
        <v>7250</v>
      </c>
    </row>
    <row r="4" spans="1:6" x14ac:dyDescent="0.35">
      <c r="A4" s="8">
        <v>46082</v>
      </c>
      <c r="B4" s="9">
        <f>SUMIFS(tblTransactions[Amount Before VAT],tblTransactions[Month],A4,tblTransactions[Type],"Sale")</f>
        <v>1196000</v>
      </c>
      <c r="C4" s="9">
        <f>SUMIFS(tblTransactions[VAT Amount],tblTransactions[Month],A4,tblTransactions[Type],"Sale")</f>
        <v>59800</v>
      </c>
      <c r="D4" s="9">
        <f>SUMIFS(tblTransactions[Amount Before VAT],tblTransactions[Month],A4,tblTransactions[Type],"Purchase")+SUMIFS(tblTransactions[Amount Before VAT],tblTransactions[Month],A4,tblTransactions[Type],"Expense")</f>
        <v>1211000</v>
      </c>
      <c r="E4" s="9">
        <f>SUMIFS(tblTransactions[VAT Amount],tblTransactions[Month],A4,tblTransactions[Type],"Purchase")+SUMIFS(tblTransactions[VAT Amount],tblTransactions[Month],A4,tblTransactions[Type],"Expense")</f>
        <v>60550</v>
      </c>
      <c r="F4" s="9">
        <f t="shared" si="0"/>
        <v>-750</v>
      </c>
    </row>
    <row r="5" spans="1:6" x14ac:dyDescent="0.35">
      <c r="A5" t="s">
        <v>103</v>
      </c>
      <c r="B5" s="9">
        <f>SUM(B2:B4)</f>
        <v>2416000</v>
      </c>
      <c r="C5" s="9">
        <f>SUM(C2:C4)</f>
        <v>120800</v>
      </c>
      <c r="D5" s="9">
        <f t="shared" ref="D5:F5" si="1">SUM(D2:D4)</f>
        <v>3189000</v>
      </c>
      <c r="E5" s="9">
        <f t="shared" si="1"/>
        <v>159450</v>
      </c>
      <c r="F5" s="9">
        <f t="shared" si="1"/>
        <v>-38650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B8D3-5595-4610-8389-126C913DD93A}">
  <dimension ref="A1:E6"/>
  <sheetViews>
    <sheetView workbookViewId="0">
      <selection activeCell="G11" sqref="G11"/>
    </sheetView>
  </sheetViews>
  <sheetFormatPr defaultRowHeight="14.5" x14ac:dyDescent="0.35"/>
  <cols>
    <col min="1" max="1" width="27.54296875" bestFit="1" customWidth="1"/>
    <col min="2" max="2" width="19.81640625" style="9" customWidth="1"/>
    <col min="3" max="3" width="15.26953125" style="9" bestFit="1" customWidth="1"/>
    <col min="4" max="4" width="11.453125" customWidth="1"/>
  </cols>
  <sheetData>
    <row r="1" spans="1:5" x14ac:dyDescent="0.35">
      <c r="A1" t="s">
        <v>104</v>
      </c>
      <c r="B1" s="9" t="s">
        <v>105</v>
      </c>
      <c r="C1" s="9" t="s">
        <v>106</v>
      </c>
      <c r="D1" t="s">
        <v>107</v>
      </c>
      <c r="E1" t="s">
        <v>108</v>
      </c>
    </row>
    <row r="2" spans="1:5" x14ac:dyDescent="0.35">
      <c r="A2" t="s">
        <v>98</v>
      </c>
      <c r="B2" s="9">
        <f>SUMIFS(tblTransactions[Amount Before VAT],tblTransactions[Type],"Sale")</f>
        <v>2416000</v>
      </c>
      <c r="C2" s="9">
        <f>VAT_Summary!B5</f>
        <v>2416000</v>
      </c>
      <c r="D2">
        <f>B2-C2</f>
        <v>0</v>
      </c>
      <c r="E2" t="str">
        <f>IF(ABS(D2)&lt;0.01,"OK","CHECK")</f>
        <v>OK</v>
      </c>
    </row>
    <row r="3" spans="1:5" x14ac:dyDescent="0.35">
      <c r="A3" t="s">
        <v>99</v>
      </c>
      <c r="B3" s="9">
        <f>SUMIFS(tblTransactions[VAT Amount],tblTransactions[Type],"Sale")</f>
        <v>120800</v>
      </c>
      <c r="C3" s="9">
        <f>VAT_Summary!C5</f>
        <v>120800</v>
      </c>
      <c r="D3">
        <f t="shared" ref="D3:D6" si="0">B3-C3</f>
        <v>0</v>
      </c>
      <c r="E3" t="str">
        <f t="shared" ref="E3:E6" si="1">IF(ABS(D3)&lt;0.01,"OK","CHECK")</f>
        <v>OK</v>
      </c>
    </row>
    <row r="4" spans="1:5" x14ac:dyDescent="0.35">
      <c r="A4" t="s">
        <v>100</v>
      </c>
      <c r="B4" s="9">
        <f>SUMIFS(tblTransactions[Amount Before VAT],tblTransactions[Type],"Purchase")+SUMIFS(tblTransactions[Amount Before VAT],tblTransactions[Type],"Expense")</f>
        <v>3189000</v>
      </c>
      <c r="C4" s="9">
        <f>VAT_Summary!D5</f>
        <v>3189000</v>
      </c>
      <c r="D4">
        <f t="shared" si="0"/>
        <v>0</v>
      </c>
      <c r="E4" t="str">
        <f t="shared" si="1"/>
        <v>OK</v>
      </c>
    </row>
    <row r="5" spans="1:5" x14ac:dyDescent="0.35">
      <c r="A5" t="s">
        <v>109</v>
      </c>
      <c r="B5" s="9">
        <f>SUMIFS(tblTransactions[VAT Amount],tblTransactions[Type],"Purchase")+SUMIFS(tblTransactions[VAT Amount],tblTransactions[Type],"Expense")</f>
        <v>159450</v>
      </c>
      <c r="C5" s="9">
        <f>VAT_Summary!E5</f>
        <v>159450</v>
      </c>
      <c r="D5">
        <f t="shared" si="0"/>
        <v>0</v>
      </c>
      <c r="E5" t="str">
        <f t="shared" si="1"/>
        <v>OK</v>
      </c>
    </row>
    <row r="6" spans="1:5" x14ac:dyDescent="0.35">
      <c r="A6" t="s">
        <v>102</v>
      </c>
      <c r="B6" s="9">
        <f>B3-B5</f>
        <v>-38650</v>
      </c>
      <c r="C6" s="9">
        <f>VAT_Summary!F5</f>
        <v>-38650</v>
      </c>
      <c r="D6">
        <f t="shared" si="0"/>
        <v>0</v>
      </c>
      <c r="E6" t="str">
        <f t="shared" si="1"/>
        <v>OK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Company_Info</vt:lpstr>
      <vt:lpstr>Dashboard</vt:lpstr>
      <vt:lpstr>Transactions</vt:lpstr>
      <vt:lpstr>Customers</vt:lpstr>
      <vt:lpstr>Suppliers</vt:lpstr>
      <vt:lpstr>VAT_Summary</vt:lpstr>
      <vt:lpstr>VAT_Reconciliation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Khatib</dc:creator>
  <cp:lastModifiedBy>Anas Khatib</cp:lastModifiedBy>
  <dcterms:created xsi:type="dcterms:W3CDTF">2015-06-05T18:17:20Z</dcterms:created>
  <dcterms:modified xsi:type="dcterms:W3CDTF">2026-09-14T20:11:04Z</dcterms:modified>
</cp:coreProperties>
</file>